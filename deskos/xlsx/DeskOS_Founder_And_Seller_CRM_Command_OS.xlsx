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package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_Daily_Social_Matrix" sheetId="1" r:id="rId1"/>
    <sheet name="2_Daily_Checklist" sheetId="2" r:id="rId2"/>
    <sheet name="3_CRM_Who_We_Talked_To" sheetId="3" r:id="rId3"/>
    <sheet name="4_Tomorrow_Queue" sheetId="4" r:id="rId4"/>
    <sheet name="5_Seller_Scoreboard" sheetId="5" r:id="rId5"/>
    <sheet name="6_Dec16_10K_8K_Tracker" sheetId="6" r:id="rId6"/>
  </sheets>
</workbook>
</file>

<file path=xl/styles.xml><?xml version="1.0" encoding="utf-8"?>
<styleSheet xmlns="http://schemas.openxmlformats.org/spreadsheetml/2006/main">
  <fonts count="4">
    <font>
      <sz val="11"/>
      <color rgb="FF0F172A"/>
      <name val="Calibri"/>
    </font>
    <font>
      <b/>
      <sz val="13"/>
      <color rgb="FFD4AF37"/>
      <name val="Calibri"/>
    </font>
    <font>
      <b/>
      <sz val="11"/>
      <color rgb="FFF8FAFC"/>
      <name val="Calibri"/>
    </font>
    <font>
      <b/>
      <sz val="11"/>
      <color rgb="FF0F172A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0F19"/>
      </patternFill>
    </fill>
    <fill>
      <patternFill patternType="solid">
        <fgColor rgb="FF1E293B"/>
      </patternFill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Styles" Type="http://schemas.openxmlformats.org/officeDocument/2006/relationships/styles" Target="styles.xml"/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38" customWidth="1"/>
    <col min="3" max="4" width="28" customWidth="1"/>
    <col min="5" max="10" width="34" customWidth="1"/>
  </cols>
  <sheetData>
    <row r="1" ht="24" customHeight="1">
      <c r="A1" t="inlineStr" s="1">
        <is>
          <t>DeskOS Command OS — WorkCell 1: Daily 3-Buffer Social Matrix (Company + Seller Tracks)</t>
        </is>
      </c>
    </row>
    <row r="2" ht="24" customHeight="1">
      <c r="A2" t="inlineStr" s="2">
        <is>
          <t>Identical 3-Buffer Routing: Buffer A (X, LinkedIn, Pinterest) | Buffer B (FB, IG, Threads) | Buffer C (YouTube, TikTok, GBP)</t>
        </is>
      </c>
    </row>
    <row r="3">
    </row>
    <row r="4">
      <c r="A4" t="inlineStr" s="3">
        <is>
          <t>Slot</t>
        </is>
      </c>
      <c r="B4" t="inlineStr" s="3">
        <is>
          <t>Buffer Account</t>
        </is>
      </c>
      <c r="C4" t="inlineStr" s="3">
        <is>
          <t>Platforms</t>
        </is>
      </c>
      <c r="D4" t="inlineStr" s="3">
        <is>
          <t>Target Pillar</t>
        </is>
      </c>
      <c r="E4" t="inlineStr" s="3">
        <is>
          <t>Media Asset</t>
        </is>
      </c>
      <c r="F4" t="inlineStr" s="3">
        <is>
          <t>Hook / Sovereign Emotion Angle</t>
        </is>
      </c>
      <c r="G4" t="inlineStr" s="3">
        <is>
          <t>Affiliate Link</t>
        </is>
      </c>
      <c r="H4" t="inlineStr" s="3">
        <is>
          <t>Status</t>
        </is>
      </c>
    </row>
    <row r="5">
      <c r="A5" t="inlineStr">
        <is>
          <t>08:30</t>
        </is>
      </c>
      <c r="B5" t="inlineStr">
        <is>
          <t>Buffer A</t>
        </is>
      </c>
      <c r="C5" t="inlineStr">
        <is>
          <t>X, LinkedIn, Pinterest</t>
        </is>
      </c>
      <c r="D5" t="inlineStr">
        <is>
          <t>Pillar 1 (Customs &amp; IP)</t>
        </is>
      </c>
      <c r="E5" t="inlineStr">
        <is>
          <t>02_WorkCell_01_Live_Radar.png</t>
        </is>
      </c>
      <c r="F5" t="inlineStr">
        <is>
          <t>Why Customs &amp; IP Partners Replace $500/mo US SaaS With Sovereign DeskOS</t>
        </is>
      </c>
      <c r="G5" t="inlineStr">
        <is>
          <t>https://stpi.whop.site?a=stpi</t>
        </is>
      </c>
      <c r="H5" t="inlineStr">
        <is>
          <t>READY</t>
        </is>
      </c>
    </row>
    <row r="6">
      <c r="A6" t="inlineStr">
        <is>
          <t>12:30</t>
        </is>
      </c>
      <c r="B6" t="inlineStr">
        <is>
          <t>Buffer B</t>
        </is>
      </c>
      <c r="C6" t="inlineStr">
        <is>
          <t>Facebook, Instagram, Threads</t>
        </is>
      </c>
      <c r="D6" t="inlineStr">
        <is>
          <t>All 3 Pillars</t>
        </is>
      </c>
      <c r="E6" t="inlineStr">
        <is>
          <t>01_Operator_Command_UI.png</t>
        </is>
      </c>
      <c r="F6" t="inlineStr">
        <is>
          <t>Pre-Loaded With Your Own Firm's Data in wC04 + 2 Days Live IRL Intelligence</t>
        </is>
      </c>
      <c r="G6" t="inlineStr">
        <is>
          <t>https://stpi.whop.site?a=stpi</t>
        </is>
      </c>
      <c r="H6" t="inlineStr">
        <is>
          <t>READY</t>
        </is>
      </c>
    </row>
    <row r="7">
      <c r="A7" t="inlineStr">
        <is>
          <t>17:00</t>
        </is>
      </c>
      <c r="B7" t="inlineStr">
        <is>
          <t>Buffer C</t>
        </is>
      </c>
      <c r="C7" t="inlineStr">
        <is>
          <t>YouTube, TikTok, GBP</t>
        </is>
      </c>
      <c r="D7" t="inlineStr">
        <is>
          <t>All 3 Pillars</t>
        </is>
      </c>
      <c r="E7" t="inlineStr">
        <is>
          <t>DeskOS-Live-Screen-Recording-Walkthrough.mp4</t>
        </is>
      </c>
      <c r="F7" t="inlineStr">
        <is>
          <t>Inside the 6-WorkCell DeskOS Sovereign Operating System</t>
        </is>
      </c>
      <c r="G7" t="inlineStr">
        <is>
          <t>https://stpi.whop.site?a=stpi</t>
        </is>
      </c>
      <c r="H7" t="inlineStr">
        <is>
          <t>READY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38" customWidth="1"/>
    <col min="3" max="4" width="28" customWidth="1"/>
    <col min="5" max="10" width="34" customWidth="1"/>
  </cols>
  <sheetData>
    <row r="1" ht="24" customHeight="1">
      <c r="A1" t="inlineStr" s="1">
        <is>
          <t>DeskOS Command OS — WorkCell 2: Daily Founder &amp; Seller Operating Checklist</t>
        </is>
      </c>
    </row>
    <row r="2" ht="24" customHeight="1">
      <c r="A2" t="inlineStr" s="2">
        <is>
          <t>Zero-Drift Daily Execution Rhythm to Hit $10,000 Cash-in-Hand &amp; $8,000/mo MRR by Dec 16, 2026</t>
        </is>
      </c>
    </row>
    <row r="3">
    </row>
    <row r="4">
      <c r="A4" t="inlineStr" s="3">
        <is>
          <t>Step #</t>
        </is>
      </c>
      <c r="B4" t="inlineStr" s="3">
        <is>
          <t>Time Block</t>
        </is>
      </c>
      <c r="C4" t="inlineStr" s="3">
        <is>
          <t>Owner</t>
        </is>
      </c>
      <c r="D4" t="inlineStr" s="3">
        <is>
          <t>Operational Action</t>
        </is>
      </c>
      <c r="E4" t="inlineStr" s="3">
        <is>
          <t>Target Metric</t>
        </is>
      </c>
      <c r="F4" t="inlineStr" s="3">
        <is>
          <t>Verification Gate</t>
        </is>
      </c>
    </row>
    <row r="5">
      <c r="A5">
        <v>1</v>
      </c>
      <c r="B5" t="inlineStr">
        <is>
          <t>07:00</t>
        </is>
      </c>
      <c r="C5" t="inlineStr">
        <is>
          <t>Master OS Auton</t>
        </is>
      </c>
      <c r="D5" t="inlineStr">
        <is>
          <t>Broadcast Day 3+ raw intelligence ONLY to DeskOS units with Dead-Sheet Switch = ON</t>
        </is>
      </c>
      <c r="E5" t="inlineStr">
        <is>
          <t>0 wasted tokens</t>
        </is>
      </c>
      <c r="F5" t="inlineStr">
        <is>
          <t>wC01-B2 Switch Gate</t>
        </is>
      </c>
    </row>
    <row r="6">
      <c r="A6">
        <v>2</v>
      </c>
      <c r="B6" t="inlineStr">
        <is>
          <t>08:00</t>
        </is>
      </c>
      <c r="C6" t="inlineStr">
        <is>
          <t>Founder &amp; Sellers</t>
        </is>
      </c>
      <c r="D6" t="inlineStr">
        <is>
          <t>Provision 25–50 new pre-populated DeskOS units across 6 global regions &amp; send first-touch</t>
        </is>
      </c>
      <c r="E6" t="inlineStr">
        <is>
          <t>50 units/day</t>
        </is>
      </c>
      <c r="F6" t="inlineStr">
        <is>
          <t>Tab 3_CRM_Who_We_Talked_To</t>
        </is>
      </c>
    </row>
    <row r="7">
      <c r="A7">
        <v>3</v>
      </c>
      <c r="B7" t="inlineStr">
        <is>
          <t>11:00</t>
        </is>
      </c>
      <c r="C7" t="inlineStr">
        <is>
          <t>Founder &amp; Sellers</t>
        </is>
      </c>
      <c r="D7" t="inlineStr">
        <is>
          <t>Nudge switched-ON prospects in Tab 4_Tomorrow_Queue to add free BYOK key in wCell 05</t>
        </is>
      </c>
      <c r="E7" t="inlineStr">
        <is>
          <t>40% BYOK activation</t>
        </is>
      </c>
      <c r="F7" t="inlineStr">
        <is>
          <t>Tab 4_Tomorrow_Queue</t>
        </is>
      </c>
    </row>
    <row r="8">
      <c r="A8">
        <v>4</v>
      </c>
      <c r="B8" t="inlineStr">
        <is>
          <t>15:00</t>
        </is>
      </c>
      <c r="C8" t="inlineStr">
        <is>
          <t>Founder &amp; Sellers</t>
        </is>
      </c>
      <c r="D8" t="inlineStr">
        <is>
          <t>Convert active BYOK users to Whop Sovereign Pro ($49/mo) or Studio ($149/mo) to unlock wC01 Pro contacts</t>
        </is>
      </c>
      <c r="E8" t="inlineStr">
        <is>
          <t>3–5 Whop closes/day</t>
        </is>
      </c>
      <c r="F8" t="inlineStr">
        <is>
          <t>Tab 6_Dec16_10K_8K_Tracker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38" customWidth="1"/>
    <col min="3" max="4" width="28" customWidth="1"/>
    <col min="5" max="10" width="34" customWidth="1"/>
  </cols>
  <sheetData>
    <row r="1" ht="24" customHeight="1">
      <c r="A1" t="inlineStr" s="1">
        <is>
          <t>DeskOS Command OS — WorkCell 3: Full B2B Prospect &amp; Client CRM (3_CRM_Who_We_Talked_To)</t>
        </is>
      </c>
    </row>
    <row r="2" ht="24" customHeight="1">
      <c r="A2" t="inlineStr" s="2">
        <is>
          <t>Collision-proof owner allocation + live Dead-Sheet Switch (wC01-B2), BYOK (wC05), and Whop STP1 tier tracking.</t>
        </is>
      </c>
    </row>
    <row r="3">
    </row>
    <row r="4">
      <c r="A4" t="inlineStr" s="3">
        <is>
          <t>Lead ID</t>
        </is>
      </c>
      <c r="B4" t="inlineStr" s="3">
        <is>
          <t>DeskOS Unit ID</t>
        </is>
      </c>
      <c r="C4" t="inlineStr" s="3">
        <is>
          <t>Firm Name</t>
        </is>
      </c>
      <c r="D4" t="inlineStr" s="3">
        <is>
          <t>Geo Region</t>
        </is>
      </c>
      <c r="E4" t="inlineStr" s="3">
        <is>
          <t>Country</t>
        </is>
      </c>
      <c r="F4" t="inlineStr" s="3">
        <is>
          <t>City</t>
        </is>
      </c>
      <c r="G4" t="inlineStr" s="3">
        <is>
          <t>Pillar</t>
        </is>
      </c>
      <c r="H4" t="inlineStr" s="3">
        <is>
          <t>Email</t>
        </is>
      </c>
      <c r="I4" t="inlineStr" s="3">
        <is>
          <t>Assigned Owner</t>
        </is>
      </c>
      <c r="J4" t="inlineStr" s="3">
        <is>
          <t>Pre-Loaded DeskOS Link</t>
        </is>
      </c>
      <c r="K4" t="inlineStr" s="3">
        <is>
          <t>Dead-Sheet Switch (wC01-B2)</t>
        </is>
      </c>
      <c r="L4" t="inlineStr" s="3">
        <is>
          <t>BYOK Key (wC05)</t>
        </is>
      </c>
      <c r="M4" t="inlineStr" s="3">
        <is>
          <t>Deal Stage</t>
        </is>
      </c>
      <c r="N4" t="inlineStr" s="3">
        <is>
          <t>Whop MRR (USD)</t>
        </is>
      </c>
      <c r="O4" t="inlineStr" s="3">
        <is>
          <t>Next Follow-Up</t>
        </is>
      </c>
      <c r="P4" t="inlineStr" s="3">
        <is>
          <t>Next Action</t>
        </is>
      </c>
    </row>
    <row r="5">
      <c r="A5" t="inlineStr">
        <is>
          <t>DSK-CRM-0001</t>
        </is>
      </c>
      <c r="B5" t="inlineStr">
        <is>
          <t>deskos-co-andina-customs-ip-counse-7351bf75</t>
        </is>
      </c>
      <c r="C5" t="inlineStr">
        <is>
          <t>Andina Customs &amp; IP Counsel</t>
        </is>
      </c>
      <c r="D5" t="inlineStr">
        <is>
          <t>LATAM</t>
        </is>
      </c>
      <c r="E5" t="inlineStr">
        <is>
          <t>CO</t>
        </is>
      </c>
      <c r="F5" t="inlineStr">
        <is>
          <t>Bogotá</t>
        </is>
      </c>
      <c r="G5" t="inlineStr">
        <is>
          <t>Customs &amp; IP DeskOS</t>
        </is>
      </c>
      <c r="H5" t="inlineStr">
        <is>
          <t>partners@andinacounsel.co</t>
        </is>
      </c>
      <c r="I5" t="inlineStr">
        <is>
          <t>founder</t>
        </is>
      </c>
      <c r="J5" t="inlineStr">
        <is>
          <t>https://stpi-leads.stpi-cloud.workers.dev/deskos/deskos-co-andina-customs-ip-counse-7351bf75</t>
        </is>
      </c>
      <c r="K5" t="inlineStr">
        <is>
          <t>ON</t>
        </is>
      </c>
      <c r="L5" t="inlineStr">
        <is>
          <t>PENDING</t>
        </is>
      </c>
      <c r="M5" t="inlineStr">
        <is>
          <t>SWITCH_ON_AWAITING_BYOK</t>
        </is>
      </c>
      <c r="N5">
        <v>0</v>
      </c>
      <c r="O5" t="inlineStr">
        <is>
          <t>2026-10-22</t>
        </is>
      </c>
      <c r="P5" t="inlineStr">
        <is>
          <t>Send 60-sec guide to drop free Gemini/Groq key in wCell 05</t>
        </is>
      </c>
    </row>
    <row r="6">
      <c r="A6" t="inlineStr">
        <is>
          <t>DSK-CRM-0002</t>
        </is>
      </c>
      <c r="B6" t="inlineStr">
        <is>
          <t>deskos-bw-okavango-sovereign-exped-910d455c</t>
        </is>
      </c>
      <c r="C6" t="inlineStr">
        <is>
          <t>Okavango Sovereign Expeditions DMC</t>
        </is>
      </c>
      <c r="D6" t="inlineStr">
        <is>
          <t>AFRICA</t>
        </is>
      </c>
      <c r="E6" t="inlineStr">
        <is>
          <t>BW</t>
        </is>
      </c>
      <c r="F6" t="inlineStr">
        <is>
          <t>Maun</t>
        </is>
      </c>
      <c r="G6" t="inlineStr">
        <is>
          <t>DMC &amp; Export B2B DeskOS</t>
        </is>
      </c>
      <c r="H6" t="inlineStr">
        <is>
          <t>trade@okavangodmc.co.bw</t>
        </is>
      </c>
      <c r="I6" t="inlineStr">
        <is>
          <t>seller_01</t>
        </is>
      </c>
      <c r="J6" t="inlineStr">
        <is>
          <t>https://stpi-leads.stpi-cloud.workers.dev/deskos/deskos-bw-okavango-sovereign-exped-910d455c</t>
        </is>
      </c>
      <c r="K6" t="inlineStr">
        <is>
          <t>ON</t>
        </is>
      </c>
      <c r="L6" t="inlineStr">
        <is>
          <t>PENDING</t>
        </is>
      </c>
      <c r="M6" t="inlineStr">
        <is>
          <t>SWITCH_ON_AWAITING_BYOK</t>
        </is>
      </c>
      <c r="N6">
        <v>0</v>
      </c>
      <c r="O6" t="inlineStr">
        <is>
          <t>2026-10-22</t>
        </is>
      </c>
      <c r="P6" t="inlineStr">
        <is>
          <t>Send 60-sec guide to drop free Gemini/Groq key in wCell 05</t>
        </is>
      </c>
    </row>
    <row r="7">
      <c r="A7" t="inlineStr">
        <is>
          <t>DSK-CRM-0003</t>
        </is>
      </c>
      <c r="B7" t="inlineStr">
        <is>
          <t>deskos-jo-al-masar-infrastructure--dbb9d86a</t>
        </is>
      </c>
      <c r="C7" t="inlineStr">
        <is>
          <t>Al-Masar Infrastructure &amp; ESG Advisory</t>
        </is>
      </c>
      <c r="D7" t="inlineStr">
        <is>
          <t>MENA</t>
        </is>
      </c>
      <c r="E7" t="inlineStr">
        <is>
          <t>JO</t>
        </is>
      </c>
      <c r="F7" t="inlineStr">
        <is>
          <t>Amman</t>
        </is>
      </c>
      <c r="G7" t="inlineStr">
        <is>
          <t>Tender &amp; ESG DeskOS</t>
        </is>
      </c>
      <c r="H7" t="inlineStr">
        <is>
          <t>tenders@almasar-esg.jo</t>
        </is>
      </c>
      <c r="I7" t="inlineStr">
        <is>
          <t>seller_02</t>
        </is>
      </c>
      <c r="J7" t="inlineStr">
        <is>
          <t>https://stpi-leads.stpi-cloud.workers.dev/deskos/deskos-jo-al-masar-infrastructure--dbb9d86a</t>
        </is>
      </c>
      <c r="K7" t="inlineStr">
        <is>
          <t>OFF</t>
        </is>
      </c>
      <c r="L7" t="inlineStr">
        <is>
          <t>PENDING</t>
        </is>
      </c>
      <c r="M7" t="inlineStr">
        <is>
          <t>PRELOADED_FIRST_TOUCH_SENT</t>
        </is>
      </c>
      <c r="N7">
        <v>0</v>
      </c>
      <c r="O7" t="inlineStr">
        <is>
          <t>2026-10-22</t>
        </is>
      </c>
      <c r="P7" t="inlineStr">
        <is>
          <t>Follow up on pre-loaded Day 1 &amp; Day 2 intelligence in wCell 01/02</t>
        </is>
      </c>
    </row>
    <row r="8">
      <c r="A8" t="inlineStr">
        <is>
          <t>DSK-CRM-0004</t>
        </is>
      </c>
      <c r="B8" t="inlineStr">
        <is>
          <t>deskos-vn-mekong-delta-freight-ip--af34e3ee</t>
        </is>
      </c>
      <c r="C8" t="inlineStr">
        <is>
          <t>Mekong Delta Freight &amp; IP Chambers</t>
        </is>
      </c>
      <c r="D8" t="inlineStr">
        <is>
          <t>SE_SOUTH_ASIA</t>
        </is>
      </c>
      <c r="E8" t="inlineStr">
        <is>
          <t>VN</t>
        </is>
      </c>
      <c r="F8" t="inlineStr">
        <is>
          <t>Ho Chi Minh City</t>
        </is>
      </c>
      <c r="G8" t="inlineStr">
        <is>
          <t>Customs &amp; IP DeskOS</t>
        </is>
      </c>
      <c r="H8" t="inlineStr">
        <is>
          <t>clearing@mekongchambers.vn</t>
        </is>
      </c>
      <c r="I8" t="inlineStr">
        <is>
          <t>founder</t>
        </is>
      </c>
      <c r="J8" t="inlineStr">
        <is>
          <t>https://stpi-leads.stpi-cloud.workers.dev/deskos/deskos-vn-mekong-delta-freight-ip--af34e3ee</t>
        </is>
      </c>
      <c r="K8" t="inlineStr">
        <is>
          <t>OFF</t>
        </is>
      </c>
      <c r="L8" t="inlineStr">
        <is>
          <t>PENDING</t>
        </is>
      </c>
      <c r="M8" t="inlineStr">
        <is>
          <t>PRELOADED_FIRST_TOUCH_SENT</t>
        </is>
      </c>
      <c r="N8">
        <v>0</v>
      </c>
      <c r="O8" t="inlineStr">
        <is>
          <t>2026-10-22</t>
        </is>
      </c>
      <c r="P8" t="inlineStr">
        <is>
          <t>Follow up on pre-loaded Day 1 &amp; Day 2 intelligence in wCell 01/02</t>
        </is>
      </c>
    </row>
    <row r="9">
      <c r="A9" t="inlineStr">
        <is>
          <t>DSK-CRM-0005</t>
        </is>
      </c>
      <c r="B9" t="inlineStr">
        <is>
          <t>deskos-ro-danube-aegean-engineerin-c36521a7</t>
        </is>
      </c>
      <c r="C9" t="inlineStr">
        <is>
          <t>Danube &amp; Aegean Engineering Consortium</t>
        </is>
      </c>
      <c r="D9" t="inlineStr">
        <is>
          <t>EAST_SOUTH_EUROPE</t>
        </is>
      </c>
      <c r="E9" t="inlineStr">
        <is>
          <t>RO</t>
        </is>
      </c>
      <c r="F9" t="inlineStr">
        <is>
          <t>Bucharest</t>
        </is>
      </c>
      <c r="G9" t="inlineStr">
        <is>
          <t>Tender &amp; ESG DeskOS</t>
        </is>
      </c>
      <c r="H9" t="inlineStr">
        <is>
          <t>bids@danube-esg.ro</t>
        </is>
      </c>
      <c r="I9" t="inlineStr">
        <is>
          <t>seller_01</t>
        </is>
      </c>
      <c r="J9" t="inlineStr">
        <is>
          <t>https://stpi-leads.stpi-cloud.workers.dev/deskos/deskos-ro-danube-aegean-engineerin-c36521a7</t>
        </is>
      </c>
      <c r="K9" t="inlineStr">
        <is>
          <t>OFF</t>
        </is>
      </c>
      <c r="L9" t="inlineStr">
        <is>
          <t>PENDING</t>
        </is>
      </c>
      <c r="M9" t="inlineStr">
        <is>
          <t>PRELOADED_FIRST_TOUCH_SENT</t>
        </is>
      </c>
      <c r="N9">
        <v>0</v>
      </c>
      <c r="O9" t="inlineStr">
        <is>
          <t>2026-10-22</t>
        </is>
      </c>
      <c r="P9" t="inlineStr">
        <is>
          <t>Follow up on pre-loaded Day 1 &amp; Day 2 intelligence in wCell 01/02</t>
        </is>
      </c>
    </row>
    <row r="10">
      <c r="A10" t="inlineStr">
        <is>
          <t>DSK-CRM-0006</t>
        </is>
      </c>
      <c r="B10" t="inlineStr">
        <is>
          <t>deskos-mu-coral-harbour-luxury-dmc-cf456208</t>
        </is>
      </c>
      <c r="C10" t="inlineStr">
        <is>
          <t>Coral Harbour Luxury DMC &amp; Marine Logistics</t>
        </is>
      </c>
      <c r="D10" t="inlineStr">
        <is>
          <t>CARIBBEAN_PACIFIC</t>
        </is>
      </c>
      <c r="E10" t="inlineStr">
        <is>
          <t>MU</t>
        </is>
      </c>
      <c r="F10" t="inlineStr">
        <is>
          <t>Port Louis</t>
        </is>
      </c>
      <c r="G10" t="inlineStr">
        <is>
          <t>DMC &amp; Export B2B DeskOS</t>
        </is>
      </c>
      <c r="H10" t="inlineStr">
        <is>
          <t>charters@coralharbour.mu</t>
        </is>
      </c>
      <c r="I10" t="inlineStr">
        <is>
          <t>seller_02</t>
        </is>
      </c>
      <c r="J10" t="inlineStr">
        <is>
          <t>https://stpi-leads.stpi-cloud.workers.dev/deskos/deskos-mu-coral-harbour-luxury-dmc-cf456208</t>
        </is>
      </c>
      <c r="K10" t="inlineStr">
        <is>
          <t>OFF</t>
        </is>
      </c>
      <c r="L10" t="inlineStr">
        <is>
          <t>PENDING</t>
        </is>
      </c>
      <c r="M10" t="inlineStr">
        <is>
          <t>PRELOADED_FIRST_TOUCH_SENT</t>
        </is>
      </c>
      <c r="N10">
        <v>0</v>
      </c>
      <c r="O10" t="inlineStr">
        <is>
          <t>2026-10-22</t>
        </is>
      </c>
      <c r="P10" t="inlineStr">
        <is>
          <t>Follow up on pre-loaded Day 1 &amp; Day 2 intelligence in wCell 01/02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38" customWidth="1"/>
    <col min="3" max="4" width="28" customWidth="1"/>
    <col min="5" max="10" width="34" customWidth="1"/>
  </cols>
  <sheetData>
    <row r="1" ht="24" customHeight="1">
      <c r="A1" t="inlineStr" s="1">
        <is>
          <t>DeskOS Command OS — WorkCell 4: Priority Follow-Up Queue (4_Tomorrow_Queue)</t>
        </is>
      </c>
    </row>
    <row r="2" ht="24" customHeight="1">
      <c r="A2" t="inlineStr" s="2">
        <is>
          <t>Automatically prioritizes prospects who flipped their Dead-Sheet Switch ON or are ready for Whop Pro upgrade.</t>
        </is>
      </c>
    </row>
    <row r="3">
    </row>
    <row r="4">
      <c r="A4" t="inlineStr" s="3">
        <is>
          <t>Queue ID</t>
        </is>
      </c>
      <c r="B4" t="inlineStr" s="3">
        <is>
          <t>DeskOS Unit ID</t>
        </is>
      </c>
      <c r="C4" t="inlineStr" s="3">
        <is>
          <t>Firm Name</t>
        </is>
      </c>
      <c r="D4" t="inlineStr" s="3">
        <is>
          <t>City &amp; Country</t>
        </is>
      </c>
      <c r="E4" t="inlineStr" s="3">
        <is>
          <t>Email</t>
        </is>
      </c>
      <c r="F4" t="inlineStr" s="3">
        <is>
          <t>Assigned Owner</t>
        </is>
      </c>
      <c r="G4" t="inlineStr" s="3">
        <is>
          <t>Switch Status</t>
        </is>
      </c>
      <c r="H4" t="inlineStr" s="3">
        <is>
          <t>Priority Score</t>
        </is>
      </c>
      <c r="I4" t="inlineStr" s="3">
        <is>
          <t>Scheduled Date</t>
        </is>
      </c>
      <c r="J4" t="inlineStr" s="3">
        <is>
          <t>Recommended Touch</t>
        </is>
      </c>
    </row>
    <row r="5">
      <c r="A5" t="inlineStr">
        <is>
          <t>QUE-0001</t>
        </is>
      </c>
      <c r="B5" t="inlineStr">
        <is>
          <t>deskos-co-andina-customs-ip-counse-7351bf75</t>
        </is>
      </c>
      <c r="C5" t="inlineStr">
        <is>
          <t>Andina Customs &amp; IP Counsel</t>
        </is>
      </c>
      <c r="D5" t="inlineStr">
        <is>
          <t>Bogotá, CO</t>
        </is>
      </c>
      <c r="E5" t="inlineStr">
        <is>
          <t>partners@andinacounsel.co</t>
        </is>
      </c>
      <c r="F5" t="inlineStr">
        <is>
          <t>founder</t>
        </is>
      </c>
      <c r="G5" t="inlineStr">
        <is>
          <t>ON</t>
        </is>
      </c>
      <c r="H5">
        <v>98</v>
      </c>
      <c r="I5" t="inlineStr">
        <is>
          <t>2026-10-22</t>
        </is>
      </c>
      <c r="J5" t="inlineStr">
        <is>
          <t>Send 60-sec guide to drop free Gemini/Groq key in wCell 05</t>
        </is>
      </c>
    </row>
    <row r="6">
      <c r="A6" t="inlineStr">
        <is>
          <t>QUE-0002</t>
        </is>
      </c>
      <c r="B6" t="inlineStr">
        <is>
          <t>deskos-bw-okavango-sovereign-exped-910d455c</t>
        </is>
      </c>
      <c r="C6" t="inlineStr">
        <is>
          <t>Okavango Sovereign Expeditions DMC</t>
        </is>
      </c>
      <c r="D6" t="inlineStr">
        <is>
          <t>Maun, BW</t>
        </is>
      </c>
      <c r="E6" t="inlineStr">
        <is>
          <t>trade@okavangodmc.co.bw</t>
        </is>
      </c>
      <c r="F6" t="inlineStr">
        <is>
          <t>seller_01</t>
        </is>
      </c>
      <c r="G6" t="inlineStr">
        <is>
          <t>ON</t>
        </is>
      </c>
      <c r="H6">
        <v>98</v>
      </c>
      <c r="I6" t="inlineStr">
        <is>
          <t>2026-10-22</t>
        </is>
      </c>
      <c r="J6" t="inlineStr">
        <is>
          <t>Send 60-sec guide to drop free Gemini/Groq key in wCell 05</t>
        </is>
      </c>
    </row>
    <row r="7">
      <c r="A7" t="inlineStr">
        <is>
          <t>QUE-0003</t>
        </is>
      </c>
      <c r="B7" t="inlineStr">
        <is>
          <t>deskos-jo-al-masar-infrastructure--dbb9d86a</t>
        </is>
      </c>
      <c r="C7" t="inlineStr">
        <is>
          <t>Al-Masar Infrastructure &amp; ESG Advisory</t>
        </is>
      </c>
      <c r="D7" t="inlineStr">
        <is>
          <t>Amman, JO</t>
        </is>
      </c>
      <c r="E7" t="inlineStr">
        <is>
          <t>tenders@almasar-esg.jo</t>
        </is>
      </c>
      <c r="F7" t="inlineStr">
        <is>
          <t>seller_02</t>
        </is>
      </c>
      <c r="G7" t="inlineStr">
        <is>
          <t>OFF</t>
        </is>
      </c>
      <c r="H7">
        <v>85</v>
      </c>
      <c r="I7" t="inlineStr">
        <is>
          <t>2026-10-22</t>
        </is>
      </c>
      <c r="J7" t="inlineStr">
        <is>
          <t>Follow up on pre-loaded Day 1 &amp; Day 2 intelligence in wCell 01/02</t>
        </is>
      </c>
    </row>
    <row r="8">
      <c r="A8" t="inlineStr">
        <is>
          <t>QUE-0004</t>
        </is>
      </c>
      <c r="B8" t="inlineStr">
        <is>
          <t>deskos-vn-mekong-delta-freight-ip--af34e3ee</t>
        </is>
      </c>
      <c r="C8" t="inlineStr">
        <is>
          <t>Mekong Delta Freight &amp; IP Chambers</t>
        </is>
      </c>
      <c r="D8" t="inlineStr">
        <is>
          <t>Ho Chi Minh City, VN</t>
        </is>
      </c>
      <c r="E8" t="inlineStr">
        <is>
          <t>clearing@mekongchambers.vn</t>
        </is>
      </c>
      <c r="F8" t="inlineStr">
        <is>
          <t>founder</t>
        </is>
      </c>
      <c r="G8" t="inlineStr">
        <is>
          <t>OFF</t>
        </is>
      </c>
      <c r="H8">
        <v>85</v>
      </c>
      <c r="I8" t="inlineStr">
        <is>
          <t>2026-10-22</t>
        </is>
      </c>
      <c r="J8" t="inlineStr">
        <is>
          <t>Follow up on pre-loaded Day 1 &amp; Day 2 intelligence in wCell 01/02</t>
        </is>
      </c>
    </row>
    <row r="9">
      <c r="A9" t="inlineStr">
        <is>
          <t>QUE-0005</t>
        </is>
      </c>
      <c r="B9" t="inlineStr">
        <is>
          <t>deskos-ro-danube-aegean-engineerin-c36521a7</t>
        </is>
      </c>
      <c r="C9" t="inlineStr">
        <is>
          <t>Danube &amp; Aegean Engineering Consortium</t>
        </is>
      </c>
      <c r="D9" t="inlineStr">
        <is>
          <t>Bucharest, RO</t>
        </is>
      </c>
      <c r="E9" t="inlineStr">
        <is>
          <t>bids@danube-esg.ro</t>
        </is>
      </c>
      <c r="F9" t="inlineStr">
        <is>
          <t>seller_01</t>
        </is>
      </c>
      <c r="G9" t="inlineStr">
        <is>
          <t>OFF</t>
        </is>
      </c>
      <c r="H9">
        <v>85</v>
      </c>
      <c r="I9" t="inlineStr">
        <is>
          <t>2026-10-22</t>
        </is>
      </c>
      <c r="J9" t="inlineStr">
        <is>
          <t>Follow up on pre-loaded Day 1 &amp; Day 2 intelligence in wCell 01/02</t>
        </is>
      </c>
    </row>
    <row r="10">
      <c r="A10" t="inlineStr">
        <is>
          <t>QUE-0006</t>
        </is>
      </c>
      <c r="B10" t="inlineStr">
        <is>
          <t>deskos-mu-coral-harbour-luxury-dmc-cf456208</t>
        </is>
      </c>
      <c r="C10" t="inlineStr">
        <is>
          <t>Coral Harbour Luxury DMC &amp; Marine Logistics</t>
        </is>
      </c>
      <c r="D10" t="inlineStr">
        <is>
          <t>Port Louis, MU</t>
        </is>
      </c>
      <c r="E10" t="inlineStr">
        <is>
          <t>charters@coralharbour.mu</t>
        </is>
      </c>
      <c r="F10" t="inlineStr">
        <is>
          <t>seller_02</t>
        </is>
      </c>
      <c r="G10" t="inlineStr">
        <is>
          <t>OFF</t>
        </is>
      </c>
      <c r="H10">
        <v>85</v>
      </c>
      <c r="I10" t="inlineStr">
        <is>
          <t>2026-10-22</t>
        </is>
      </c>
      <c r="J10" t="inlineStr">
        <is>
          <t>Follow up on pre-loaded Day 1 &amp; Day 2 intelligence in wCell 01/02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38" customWidth="1"/>
    <col min="3" max="4" width="28" customWidth="1"/>
    <col min="5" max="10" width="34" customWidth="1"/>
  </cols>
  <sheetData>
    <row r="1" ht="24" customHeight="1">
      <c r="A1" t="inlineStr" s="1">
        <is>
          <t>DeskOS Command OS — WorkCell 5: Seller &amp; Affiliate Scoreboard (5_Seller_Scoreboard)</t>
        </is>
      </c>
    </row>
    <row r="2" ht="24" customHeight="1">
      <c r="A2" t="inlineStr" s="2">
        <is>
          <t>Tracks assigned DeskOS units, Dead-Sheet Switch activations, BYOK setups, Whop Pro closes, and 30% affiliate commissions.</t>
        </is>
      </c>
    </row>
    <row r="3">
    </row>
    <row r="4">
      <c r="A4" t="inlineStr" s="3">
        <is>
          <t>Seller / Operator ID</t>
        </is>
      </c>
      <c r="B4" t="inlineStr" s="3">
        <is>
          <t>Assigned DeskOS Units</t>
        </is>
      </c>
      <c r="C4" t="inlineStr" s="3">
        <is>
          <t>Switches Flipped ON</t>
        </is>
      </c>
      <c r="D4" t="inlineStr" s="3">
        <is>
          <t>BYOK Keys Active</t>
        </is>
      </c>
      <c r="E4" t="inlineStr" s="3">
        <is>
          <t>Whop Pro/Studio Closes</t>
        </is>
      </c>
      <c r="F4" t="inlineStr" s="3">
        <is>
          <t>Active MRR (USD)</t>
        </is>
      </c>
      <c r="G4" t="inlineStr" s="3">
        <is>
          <t>30% Affiliate Commission (Formula)</t>
        </is>
      </c>
    </row>
    <row r="5">
      <c r="A5" t="inlineStr">
        <is>
          <t>founder</t>
        </is>
      </c>
      <c r="B5">
        <v>2</v>
      </c>
      <c r="C5">
        <v>1</v>
      </c>
      <c r="D5">
        <v>0</v>
      </c>
      <c r="E5">
        <v>0</v>
      </c>
      <c r="F5">
        <v>0</v>
      </c>
      <c r="G5">
        <f>F5*0.30</f>
      </c>
    </row>
    <row r="6">
      <c r="A6" t="inlineStr">
        <is>
          <t>seller_01</t>
        </is>
      </c>
      <c r="B6">
        <v>2</v>
      </c>
      <c r="C6">
        <v>1</v>
      </c>
      <c r="D6">
        <v>0</v>
      </c>
      <c r="E6">
        <v>0</v>
      </c>
      <c r="F6">
        <v>0</v>
      </c>
      <c r="G6">
        <f>F6*0.30</f>
      </c>
    </row>
    <row r="7">
      <c r="A7" t="inlineStr">
        <is>
          <t>seller_02</t>
        </is>
      </c>
      <c r="B7">
        <v>2</v>
      </c>
      <c r="C7">
        <v>0</v>
      </c>
      <c r="D7">
        <v>0</v>
      </c>
      <c r="E7">
        <v>0</v>
      </c>
      <c r="F7">
        <v>0</v>
      </c>
      <c r="G7">
        <f>F7*0.30</f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" customWidth="1"/>
    <col min="2" max="2" width="38" customWidth="1"/>
    <col min="3" max="4" width="28" customWidth="1"/>
    <col min="5" max="10" width="34" customWidth="1"/>
  </cols>
  <sheetData>
    <row r="1" ht="24" customHeight="1">
      <c r="A1" t="inlineStr" s="1">
        <is>
          <t>DeskOS Command OS — WorkCell 6: Dec 16, 2026 Revenue Target Tracker ($10k In-Hand + $8k/mo MRR)</t>
        </is>
      </c>
    </row>
    <row r="2" ht="24" customHeight="1">
      <c r="A2" t="inlineStr" s="2">
        <is>
          <t>Unified revenue tracker combining STPi + DeskOS Sovereign Pro ($49/mo) &amp; Sovereign Studio ($149/mo) Whop checkouts.</t>
        </is>
      </c>
    </row>
    <row r="3">
    </row>
    <row r="4">
      <c r="A4" t="inlineStr" s="3">
        <is>
          <t>Metric</t>
        </is>
      </c>
      <c r="B4" t="inlineStr" s="3">
        <is>
          <t>Target by Dec 16, 2026</t>
        </is>
      </c>
      <c r="C4" t="inlineStr" s="3">
        <is>
          <t>Current / Formula</t>
        </is>
      </c>
      <c r="D4" t="inlineStr" s="3">
        <is>
          <t>Notes</t>
        </is>
      </c>
    </row>
    <row r="5">
      <c r="A5" t="inlineStr">
        <is>
          <t>Cash-In-Hand Target (USD)</t>
        </is>
      </c>
      <c r="B5">
        <v>10000</v>
      </c>
      <c r="C5">
        <v>1450</v>
      </c>
      <c r="D5" t="inlineStr">
        <is>
          <t>Cumulative net collected across setup packs &amp; monthly closes</t>
        </is>
      </c>
    </row>
    <row r="6">
      <c r="A6" t="inlineStr">
        <is>
          <t>Remaining Cash-In-Hand Needed (Formula)</t>
        </is>
      </c>
      <c r="B6">
        <f>B5-C5</f>
      </c>
      <c r="C6">
        <f>C5/B5</f>
      </c>
      <c r="D6" t="inlineStr">
        <is>
          <t>Live gap &amp; completion ratio</t>
        </is>
      </c>
    </row>
    <row r="7">
      <c r="A7" t="inlineStr">
        <is>
          <t>Monthly Recurring Revenue Target (USD/mo)</t>
        </is>
      </c>
      <c r="B7">
        <v>8000</v>
      </c>
      <c r="C7">
        <f>SUM(5_Seller_Scoreboard!F5:F7)+980</f>
      </c>
      <c r="D7" t="inlineStr">
        <is>
          <t>Live MRR across STPi + DeskOS Sovereign Pro/Studio</t>
        </is>
      </c>
    </row>
    <row r="8">
      <c r="A8" t="inlineStr">
        <is>
          <t>Equivalent DeskOS Pro ($49/mo) Subscriptions Needed</t>
        </is>
      </c>
      <c r="B8">
        <f>B7/49</f>
      </c>
      <c r="C8">
        <f>B7/149</f>
      </c>
      <c r="D8" t="inlineStr">
        <is>
          <t>164 Pro desks OR 54 Sovereign Studio desks globally</t>
        </is>
      </c>
    </row>
  </sheetData>
</worksheet>
</file>