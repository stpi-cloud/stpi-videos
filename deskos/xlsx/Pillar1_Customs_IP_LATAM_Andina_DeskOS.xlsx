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C01_Live_Radar" sheetId="1" r:id="rId1"/>
    <sheet name="wC02_Approve_Dispatch" sheetId="2" r:id="rId2"/>
    <sheet name="wC03_Permanent_Instruments" sheetId="3" r:id="rId3"/>
    <sheet name="wC04_Firm_Truth_Vault" sheetId="4" r:id="rId4"/>
    <sheet name="wC05_BYOK_Key_Bay" sheetId="5" r:id="rId5"/>
    <sheet name="wC06_Command_Upgrade_Gate" sheetId="6" r:id="rId6"/>
  </sheets>
</workbook>
</file>

<file path=xl/styles.xml><?xml version="1.0" encoding="utf-8"?>
<styleSheet xmlns="http://schemas.openxmlformats.org/spreadsheetml/2006/main">
  <fonts count="4">
    <font>
      <sz val="11"/>
      <color rgb="FF0F172A"/>
      <name val="Calibri"/>
    </font>
    <font>
      <b/>
      <sz val="13"/>
      <color rgb="FFD4AF37"/>
      <name val="Calibri"/>
    </font>
    <font>
      <b/>
      <sz val="11"/>
      <color rgb="FFF8FAFC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— Andina Customs &amp; IP Counsel (Bogotá, CO)</t>
        </is>
      </c>
      <c r="B1" t="inlineStr" s="1">
        <is>
          <t>Pillar 1 — Boutique Customs Clearing/Freight Forwarders &amp; Boutique IP/Trademark Law Firms</t>
        </is>
      </c>
    </row>
    <row r="2" ht="24" customHeight="1">
      <c r="A2" t="inlineStr" s="2">
        <is>
          <t>DEAD_SHEET_SWITCH (RadarAuton)</t>
        </is>
      </c>
      <c r="B2" t="inlineStr" s="2">
        <is>
          <t>ON</t>
        </is>
      </c>
      <c r="C2" t="inlineStr" s="2">
        <is>
          <t>Flip to ON so Master OS Server streams Day 3+ intelligence.</t>
        </is>
      </c>
    </row>
    <row r="3">
    </row>
    <row r="4">
      <c r="A4" t="inlineStr" s="3">
        <is>
          <t>Signal ID</t>
        </is>
      </c>
      <c r="B4" t="inlineStr" s="3">
        <is>
          <t>Day Bucket</t>
        </is>
      </c>
      <c r="C4" t="inlineStr" s="3">
        <is>
          <t>Status</t>
        </is>
      </c>
      <c r="D4" t="inlineStr" s="3">
        <is>
          <t>Source Authority</t>
        </is>
      </c>
      <c r="E4" t="inlineStr" s="3">
        <is>
          <t>Headline</t>
        </is>
      </c>
      <c r="F4" t="inlineStr" s="3">
        <is>
          <t>Matched Firm Asset (wC04)</t>
        </is>
      </c>
      <c r="G4" t="inlineStr" s="3">
        <is>
          <t>Relevance Score</t>
        </is>
      </c>
      <c r="H4" t="inlineStr" s="3">
        <is>
          <t>Statutory Deadline</t>
        </is>
      </c>
      <c r="I4" t="inlineStr" s="3">
        <is>
          <t>Actionable Brief</t>
        </is>
      </c>
      <c r="J4" t="inlineStr" s="3">
        <is>
          <t>Pro Direct Contact (wC06)</t>
        </is>
      </c>
      <c r="K4" t="inlineStr" s="3">
        <is>
          <t>Pro Full Dossier (wC06)</t>
        </is>
      </c>
    </row>
    <row r="5">
      <c r="A5" t="inlineStr">
        <is>
          <t>SIG-DAY1-01</t>
        </is>
      </c>
      <c r="B5" t="inlineStr">
        <is>
          <t>DAY_1_PRELOADED</t>
        </is>
      </c>
      <c r="C5" t="inlineStr">
        <is>
          <t>PROCESSED_READY_IRL</t>
        </is>
      </c>
      <c r="D5" t="inlineStr">
        <is>
          <t>SISCOMEX (Brazil)</t>
        </is>
      </c>
      <c r="E5" t="inlineStr">
        <is>
          <t>[Day 1 Live Match] Tariff HS-Code Amendment &amp; Conflicting Trademark Opposition Alert impacting Marca Cordillera Coffee Class 30 (SIC #99214)</t>
        </is>
      </c>
      <c r="F5" t="inlineStr">
        <is>
          <t>Marca Cordillera Coffee Class 30 (SIC #99214)</t>
        </is>
      </c>
      <c r="G5">
        <v>96</v>
      </c>
      <c r="H5" t="inlineStr">
        <is>
          <t>2026-11-18</t>
        </is>
      </c>
      <c r="I5" t="inlineStr">
        <is>
          <t>Immediate IRL action for Andina Customs &amp; IP Counsel: file advisory / quote before statutory cutoff.</t>
        </is>
      </c>
      <c r="J5" t="inlineStr">
        <is>
          <t>🔒 LOCKED — Enter Whop License Key in wCell 06-B4</t>
        </is>
      </c>
      <c r="K5" t="inlineStr">
        <is>
          <t>🔒 LOCKED — Upgrade to Sovereign Pro in wCell 06</t>
        </is>
      </c>
    </row>
    <row r="6">
      <c r="A6" t="inlineStr">
        <is>
          <t>SIG-DAY2-01</t>
        </is>
      </c>
      <c r="B6" t="inlineStr">
        <is>
          <t>DAY_2_PRELOADED</t>
        </is>
      </c>
      <c r="C6" t="inlineStr">
        <is>
          <t>PROCESSED_READY_IRL</t>
        </is>
      </c>
      <c r="D6" t="inlineStr">
        <is>
          <t>INPI Revista (Brazil)</t>
        </is>
      </c>
      <c r="E6" t="inlineStr">
        <is>
          <t>[Day 2 Live Match] High-margin Customs &amp; IP DeskOS opportunity matched to Buenaventura -&gt; Bogotá Cold-Chain Corridor (HS 84/85)</t>
        </is>
      </c>
      <c r="F6" t="inlineStr">
        <is>
          <t>Buenaventura -&gt; Bogotá Cold-Chain Corridor (HS 84/85)</t>
        </is>
      </c>
      <c r="G6">
        <v>94</v>
      </c>
      <c r="H6" t="inlineStr">
        <is>
          <t>2026-11-25</t>
        </is>
      </c>
      <c r="I6" t="inlineStr">
        <is>
          <t>Immediate IRL action for Andina Customs &amp; IP Counsel: dispatch pre-drafted client alert in wCell 02.</t>
        </is>
      </c>
      <c r="J6" t="inlineStr">
        <is>
          <t>🔒 LOCKED — Enter Whop License Key in wCell 06-B4</t>
        </is>
      </c>
      <c r="K6" t="inlineStr">
        <is>
          <t>🔒 LOCKED — Upgrade to Sovereign Pro in wCell 06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02 (wC02) — 1-Click Client Alert &amp; Proposal Dispatch Queue (DispatchAuton)</t>
        </is>
      </c>
    </row>
    <row r="2" ht="24" customHeight="1">
      <c r="A2" t="inlineStr" s="2">
        <is>
          <t>Set Approval Status to APPROVED and run DispatchAuton to send from your own mailbox.</t>
        </is>
      </c>
    </row>
    <row r="3">
    </row>
    <row r="4">
      <c r="A4" t="inlineStr" s="3">
        <is>
          <t>Dispatch ID</t>
        </is>
      </c>
      <c r="B4" t="inlineStr" s="3">
        <is>
          <t>Signal ID</t>
        </is>
      </c>
      <c r="C4" t="inlineStr" s="3">
        <is>
          <t>Approval Status</t>
        </is>
      </c>
      <c r="D4" t="inlineStr" s="3">
        <is>
          <t>Recipient Role</t>
        </is>
      </c>
      <c r="E4" t="inlineStr" s="3">
        <is>
          <t>Draft Subject</t>
        </is>
      </c>
      <c r="F4" t="inlineStr" s="3">
        <is>
          <t>Draft Body Preview</t>
        </is>
      </c>
      <c r="G4" t="inlineStr" s="3">
        <is>
          <t>Quota Source</t>
        </is>
      </c>
    </row>
    <row r="5">
      <c r="A5" t="inlineStr">
        <is>
          <t>DSP-DAY1-01</t>
        </is>
      </c>
      <c r="B5" t="inlineStr">
        <is>
          <t>SIG-DAY1-01</t>
        </is>
      </c>
      <c r="C5" t="inlineStr">
        <is>
          <t>READY_FOR_HUMAN_APPROVAL</t>
        </is>
      </c>
      <c r="D5" t="inlineStr">
        <is>
          <t>Client / Counterparty Decision-Maker</t>
        </is>
      </c>
      <c r="E5" t="inlineStr">
        <is>
          <t>Urgent Bogotá Advisory: SISCOMEX (Brazil) update on Marca Cordillera Coffee Class 30 (SIC #99214)</t>
        </is>
      </c>
      <c r="F5" t="inlineStr">
        <is>
          <t>We detected a high-priority Tariff HS-Code Amendment &amp; Conflicting Trademark Opposition Alert affecting Marca Cordillera Coffee Class 30 (SIC #99214). Our desk has prepared the cost/margin calculation in wCell 03 and recommends action before 2026-11-18.</t>
        </is>
      </c>
      <c r="G5" t="inlineStr">
        <is>
          <t>MASTER_OS_PRESEED_2DAYS</t>
        </is>
      </c>
    </row>
    <row r="6">
      <c r="A6" t="inlineStr">
        <is>
          <t>DSP-DAY2-01</t>
        </is>
      </c>
      <c r="B6" t="inlineStr">
        <is>
          <t>SIG-DAY2-01</t>
        </is>
      </c>
      <c r="C6" t="inlineStr">
        <is>
          <t>READY_FOR_HUMAN_APPROVAL</t>
        </is>
      </c>
      <c r="D6" t="inlineStr">
        <is>
          <t>Client / Counterparty Decision-Maker</t>
        </is>
      </c>
      <c r="E6" t="inlineStr">
        <is>
          <t>Action Required: INPI Revista (Brazil) notice matched to Buenaventura -&gt; Bogotá Cold-Chain Corridor (HS 84/85)</t>
        </is>
      </c>
      <c r="F6" t="inlineStr">
        <is>
          <t>Our DeskOS radar flagged a new Customs &amp; IP DeskOS filing tied to Buenaventura -&gt; Bogotá Cold-Chain Corridor (HS 84/85). Reply 'PROCEED' and we will execute the filing/quote today.</t>
        </is>
      </c>
      <c r="G6" t="inlineStr">
        <is>
          <t>MASTER_OS_PRESEED_2DAYS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03 (wC03) — 10 Permanent Industry Instruments for Customs &amp; IP DeskOS ('The Jewelry Jar' — InstrumentAuton)</t>
        </is>
      </c>
    </row>
    <row r="2" ht="24" customHeight="1">
      <c r="A2" t="inlineStr" s="2">
        <is>
          <t>All 10 calculators below remain 100% functional forever on zero external quota.</t>
        </is>
      </c>
    </row>
    <row r="3">
    </row>
    <row r="4">
      <c r="A4" t="inlineStr" s="3">
        <is>
          <t>Instrument ID</t>
        </is>
      </c>
      <c r="B4" t="inlineStr" s="3">
        <is>
          <t>Calculator Name</t>
        </is>
      </c>
      <c r="C4" t="inlineStr" s="3">
        <is>
          <t>Reference Formula</t>
        </is>
      </c>
      <c r="D4" t="inlineStr" s="3">
        <is>
          <t>Base Input A</t>
        </is>
      </c>
      <c r="E4" t="inlineStr" s="3">
        <is>
          <t>Rate / Factor B</t>
        </is>
      </c>
      <c r="F4" t="inlineStr" s="3">
        <is>
          <t>Live Calculated Output (Formula)</t>
        </is>
      </c>
    </row>
    <row r="5">
      <c r="A5" t="inlineStr">
        <is>
          <t>INST-01</t>
        </is>
      </c>
      <c r="B5" t="inlineStr">
        <is>
          <t>Landed Duty, VAT &amp; Excise Waterfall Calculator</t>
        </is>
      </c>
      <c r="C5">
        <f>ROUND(CIF_Value*(1+Duty_Rate)*(1+Excise_Rate)*(1+VAT_Rate)-CIF_Value, 2)</f>
      </c>
      <c r="D5">
        <v>19500</v>
      </c>
      <c r="E5">
        <v>0.145</v>
      </c>
      <c r="F5">
        <f>ROUND(D5*(1+E5),2)</f>
      </c>
    </row>
    <row r="6">
      <c r="A6" t="inlineStr">
        <is>
          <t>INST-02</t>
        </is>
      </c>
      <c r="B6" t="inlineStr">
        <is>
          <t>Port Demurrage, Detention &amp; Container Storage Exposure Estimator</t>
        </is>
      </c>
      <c r="C6">
        <f>MAX(0, Dwell_Days-Free_Days)*Containers*IF(Dwell_Days&gt;14, Tier2_Daily_Rate, Tier1_Daily_Rate)</f>
      </c>
      <c r="D6">
        <v>24000</v>
      </c>
      <c r="E6">
        <v>0.17</v>
      </c>
      <c r="F6">
        <f>ROUND(D6*(1+E6),2)</f>
      </c>
    </row>
    <row r="7">
      <c r="A7" t="inlineStr">
        <is>
          <t>INST-03</t>
        </is>
      </c>
      <c r="B7" t="inlineStr">
        <is>
          <t>60-Day Statutory Trademark &amp; Customs Protest Countdown Clock</t>
        </is>
      </c>
      <c r="C7">
        <f>IF((Gazette_Pub_Date+Statutory_Window_Days-TODAY())&lt;=7,"CRITICAL OPPOSITION WINDOW","ACTIVE WATCH")</f>
      </c>
      <c r="D7">
        <v>28500</v>
      </c>
      <c r="E7">
        <v>0.195</v>
      </c>
      <c r="F7">
        <f>ROUND(D7*(1+E7),2)</f>
      </c>
    </row>
    <row r="8">
      <c r="A8" t="inlineStr">
        <is>
          <t>INST-04</t>
        </is>
      </c>
      <c r="B8" t="inlineStr">
        <is>
          <t>HS-Code Reclassification Penalty &amp; Back-Duty Risk Calculator</t>
        </is>
      </c>
      <c r="C8">
        <f>ROUND(Audited_Import_Volume*(Assessed_HS_Rate-Declared_HS_Rate)*(1+Statutory_Penalty_Pct), 2)</f>
      </c>
      <c r="D8">
        <v>33000</v>
      </c>
      <c r="E8">
        <v>0.22</v>
      </c>
      <c r="F8">
        <f>ROUND(D8*(1+E8),2)</f>
      </c>
    </row>
    <row r="9">
      <c r="A9" t="inlineStr">
        <is>
          <t>INST-05</t>
        </is>
      </c>
      <c r="B9" t="inlineStr">
        <is>
          <t>Bonded Warehouse &amp; Free-Trade-Zone (FTZ) Working-Capital Deferral Yield</t>
        </is>
      </c>
      <c r="C9">
        <f>ROUND(Deferred_Duty_Principal*(Annual_Cost_Of_Capital/365)*Average_Bond_Days, 2)</f>
      </c>
      <c r="D9">
        <v>37500</v>
      </c>
      <c r="E9">
        <v>0.245</v>
      </c>
      <c r="F9">
        <f>ROUND(D9*(1+E9),2)</f>
      </c>
    </row>
    <row r="10">
      <c r="A10" t="inlineStr">
        <is>
          <t>INST-06</t>
        </is>
      </c>
      <c r="B10" t="inlineStr">
        <is>
          <t>Preferential Rules-of-Origin (AfCFTA / Mercosur / ASEAN) Regional Value Content (RVC %)</t>
        </is>
      </c>
      <c r="C10">
        <f>ROUND(((FOB_Export_Price-Non_Originating_Materials)/FOB_Export_Price)*100, 2)</f>
      </c>
      <c r="D10">
        <v>42000</v>
      </c>
      <c r="E10">
        <v>0.27</v>
      </c>
      <c r="F10">
        <f>ROUND(D10*(1+E10),2)</f>
      </c>
    </row>
    <row r="11">
      <c r="A11" t="inlineStr">
        <is>
          <t>INST-07</t>
        </is>
      </c>
      <c r="B11" t="inlineStr">
        <is>
          <t>Cold-Chain &amp; Reefer Genset Plug-In Surcharge &amp; Spoilage Insurance Buffer</t>
        </is>
      </c>
      <c r="C11">
        <f>ROUND((Reefer_Days*Port_Plug_Rate)+(Cargo_CIF_Value*Spoilage_Risk_Factor), 2)</f>
      </c>
      <c r="D11">
        <v>46500</v>
      </c>
      <c r="E11">
        <v>0.295</v>
      </c>
      <c r="F11">
        <f>ROUND(D11*(1+E11),2)</f>
      </c>
    </row>
    <row r="12">
      <c r="A12" t="inlineStr">
        <is>
          <t>INST-08</t>
        </is>
      </c>
      <c r="B12" t="inlineStr">
        <is>
          <t>Customs Transit Bond &amp; Guarantee Collateral Utilization Calculator</t>
        </is>
      </c>
      <c r="C12">
        <f>ROUND((In_Transit_CIF_Exposure*(Duty_Rate+VAT_Rate))/Total_Bond_Ceiling*100, 2)</f>
      </c>
      <c r="D12">
        <v>51000</v>
      </c>
      <c r="E12">
        <v>0.32</v>
      </c>
      <c r="F12">
        <f>ROUND(D12*(1+E12),2)</f>
      </c>
    </row>
    <row r="13">
      <c r="A13" t="inlineStr">
        <is>
          <t>INST-09</t>
        </is>
      </c>
      <c r="B13" t="inlineStr">
        <is>
          <t>Counterfeit Seizure &amp; Border IP Enforcement Cost-Recovery Estimator</t>
        </is>
      </c>
      <c r="C13">
        <f>ROUND((Seized_Units*Destroy_Cost_Per_Unit)+Legal_Filing_Fee-Statutory_Damages_Award, 2)</f>
      </c>
      <c r="D13">
        <v>55500</v>
      </c>
      <c r="E13">
        <v>0.345</v>
      </c>
      <c r="F13">
        <f>ROUND(D13*(1+E13),2)</f>
      </c>
    </row>
    <row r="14">
      <c r="A14" t="inlineStr">
        <is>
          <t>INST-10</t>
        </is>
      </c>
      <c r="B14" t="inlineStr">
        <is>
          <t>Multi-Currency Customs Valuation FX Uplift &amp; Central-Bank Parity Stress-Tester</t>
        </is>
      </c>
      <c r="C14">
        <f>ROUND(Invoice_FOB*Customs_Reference_FX*(1+Effective_Duty_Rate)-Invoice_FOB*Spot_FX*(1+Effective_Duty_Rate), 2)</f>
      </c>
      <c r="D14">
        <v>60000</v>
      </c>
      <c r="E14">
        <v>0.37</v>
      </c>
      <c r="F14">
        <f>ROUND(D14*(1+E14),2)</f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04 (wC04) — Pre-Loaded Firm Truth Vault for Andina Customs &amp; IP Counsel (VaultAuton)</t>
        </is>
      </c>
    </row>
    <row r="2" ht="24" customHeight="1">
      <c r="A2" t="inlineStr" s="2">
        <is>
          <t>Pre-populated with your firm's own practice lanes, registered marks, and corridors.</t>
        </is>
      </c>
    </row>
    <row r="3">
    </row>
    <row r="4">
      <c r="A4" t="inlineStr" s="3">
        <is>
          <t>Vault ID</t>
        </is>
      </c>
      <c r="B4" t="inlineStr" s="3">
        <is>
          <t>Firm Asset / Corridor / Practice Line</t>
        </is>
      </c>
      <c r="C4" t="inlineStr" s="3">
        <is>
          <t>Jurisdiction</t>
        </is>
      </c>
      <c r="D4" t="inlineStr" s="3">
        <is>
          <t>Pillar</t>
        </is>
      </c>
      <c r="E4" t="inlineStr" s="3">
        <is>
          <t>Monitoring State</t>
        </is>
      </c>
    </row>
    <row r="5">
      <c r="A5" t="inlineStr">
        <is>
          <t>VLT-01</t>
        </is>
      </c>
      <c r="B5" t="inlineStr">
        <is>
          <t>Marca Cordillera Coffee Class 30 (SIC #99214)</t>
        </is>
      </c>
      <c r="C5" t="inlineStr">
        <is>
          <t>Bogotá, CO (LATAM)</t>
        </is>
      </c>
      <c r="D5" t="inlineStr">
        <is>
          <t>Customs &amp; IP DeskOS</t>
        </is>
      </c>
      <c r="E5" t="inlineStr">
        <is>
          <t>ACTIVE_PRELOADED</t>
        </is>
      </c>
    </row>
    <row r="6">
      <c r="A6" t="inlineStr">
        <is>
          <t>VLT-02</t>
        </is>
      </c>
      <c r="B6" t="inlineStr">
        <is>
          <t>Buenaventura -&gt; Bogotá Cold-Chain Corridor (HS 84/85)</t>
        </is>
      </c>
      <c r="C6" t="inlineStr">
        <is>
          <t>Bogotá, CO (LATAM)</t>
        </is>
      </c>
      <c r="D6" t="inlineStr">
        <is>
          <t>Customs &amp; IP DeskOS</t>
        </is>
      </c>
      <c r="E6" t="inlineStr">
        <is>
          <t>ACTIVE_PRELOADED</t>
        </is>
      </c>
    </row>
    <row r="7">
      <c r="A7" t="inlineStr">
        <is>
          <t>VLT-03</t>
        </is>
      </c>
      <c r="B7" t="inlineStr">
        <is>
          <t>Cartagena Bonded Free-Zone Warehouse B-12</t>
        </is>
      </c>
      <c r="C7" t="inlineStr">
        <is>
          <t>Bogotá, CO (LATAM)</t>
        </is>
      </c>
      <c r="D7" t="inlineStr">
        <is>
          <t>Customs &amp; IP DeskOS</t>
        </is>
      </c>
      <c r="E7" t="inlineStr">
        <is>
          <t>ACTIVE_PRELOADED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05 (wC05) — Sovereign BYOK Key &amp; Quota Bay (KeyGateAuton)</t>
        </is>
      </c>
    </row>
    <row r="2" ht="24" customHeight="1">
      <c r="A2" t="inlineStr" s="2">
        <is>
          <t>DEFAULT = BYOK: Day 3+ raw intelligence lands in wC01 when switch is ON, but is only processed once your free key is entered below.</t>
        </is>
      </c>
    </row>
    <row r="3">
    </row>
    <row r="4">
      <c r="A4" t="inlineStr" s="3">
        <is>
          <t>LLM Provider (gemini / groq / deepseek)</t>
        </is>
      </c>
      <c r="B4" t="inlineStr" s="3">
        <is>
          <t>gemini</t>
        </is>
      </c>
    </row>
    <row r="5">
      <c r="A5" t="inlineStr">
        <is>
          <t>User Free LLM API Key</t>
        </is>
      </c>
    </row>
    <row r="6">
      <c r="A6" t="inlineStr">
        <is>
          <t>User Outbound Mailbox Email</t>
        </is>
      </c>
      <c r="B6" t="inlineStr">
        <is>
          <t>partners@andinacounsel.co</t>
        </is>
      </c>
    </row>
    <row r="7">
      <c r="A7" t="inlineStr">
        <is>
          <t>User Mailbox App Password (16-char)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WorkCell 06 (wC06) — Sovereign Command &amp; Pro Upgrade Gate (UpgradeAuton)</t>
        </is>
      </c>
    </row>
    <row r="2" ht="24" customHeight="1">
      <c r="A2" t="inlineStr" s="2">
        <is>
          <t>Doctrine</t>
        </is>
      </c>
      <c r="B2" t="inlineStr" s="2">
        <is>
          <t>USA and mainstream software providers don't like to work with firms in Bogotá (CO). DeskOS is your sovereign, permanent operational advantage.</t>
        </is>
      </c>
    </row>
    <row r="3">
      <c r="A3" t="inlineStr">
        <is>
          <t>Current Plan Tier</t>
        </is>
      </c>
      <c r="B3" t="inlineStr">
        <is>
          <t>FREE</t>
        </is>
      </c>
    </row>
    <row r="4">
      <c r="A4" t="inlineStr" s="3">
        <is>
          <t>Whop License Key (Paste STP1.* key here)</t>
        </is>
      </c>
    </row>
    <row r="5">
      <c r="A5" t="inlineStr">
        <is>
          <t>Pro Columns Status</t>
        </is>
      </c>
      <c r="B5" t="inlineStr">
        <is>
          <t>LOCKED_FREE_BYOK_MODE</t>
        </is>
      </c>
    </row>
    <row r="6">
      <c r="A6" t="inlineStr">
        <is>
          <t>Master OS Tokens Used (Day 1-2 Pre-Seed)</t>
        </is>
      </c>
      <c r="B6">
        <v>420</v>
      </c>
    </row>
    <row r="7">
      <c r="A7" t="inlineStr">
        <is>
          <t>Master OS Tokens Used (Day 3+ Stream)</t>
        </is>
      </c>
      <c r="B7">
        <v>0</v>
      </c>
    </row>
    <row r="8">
      <c r="A8" t="inlineStr">
        <is>
          <t>Client BYOK Tokens Used (Day 3+)</t>
        </is>
      </c>
      <c r="B8">
        <v>0</v>
      </c>
    </row>
    <row r="9">
      <c r="A9" t="inlineStr">
        <is>
          <t>Whop Pro Upgrade Link ($49/mo | R850/mo)</t>
        </is>
      </c>
      <c r="B9" t="inlineStr">
        <is>
          <t>https://whop.com/checkout/ch_Si8xefqAIZZzm3R?a=stpi</t>
        </is>
      </c>
    </row>
    <row r="10">
      <c r="A10" t="inlineStr">
        <is>
          <t>Support &amp; Concierge</t>
        </is>
      </c>
      <c r="B10" t="inlineStr">
        <is>
          <t>concierge@getstpi.com</t>
        </is>
      </c>
    </row>
  </sheetData>
</worksheet>
</file>