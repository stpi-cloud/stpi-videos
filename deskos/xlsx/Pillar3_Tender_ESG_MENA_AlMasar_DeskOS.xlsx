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C01_Live_Radar" sheetId="1" r:id="rId1"/>
    <sheet name="wC02_Approve_Dispatch" sheetId="2" r:id="rId2"/>
    <sheet name="wC03_Permanent_Instruments" sheetId="3" r:id="rId3"/>
    <sheet name="wC04_Firm_Truth_Vault" sheetId="4" r:id="rId4"/>
    <sheet name="wC05_BYOK_Key_Bay" sheetId="5" r:id="rId5"/>
    <sheet name="wC06_Command_Upgrade_Gate" sheetId="6" r:id="rId6"/>
  </sheets>
</workbook>
</file>

<file path=xl/styles.xml><?xml version="1.0" encoding="utf-8"?>
<styleSheet xmlns="http://schemas.openxmlformats.org/spreadsheetml/2006/main">
  <fonts count="4">
    <font>
      <sz val="11"/>
      <color rgb="FF0F172A"/>
      <name val="Calibri"/>
    </font>
    <font>
      <b/>
      <sz val="13"/>
      <color rgb="FFD4AF37"/>
      <name val="Calibri"/>
    </font>
    <font>
      <b/>
      <sz val="11"/>
      <color rgb="FFF8FAFC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— Al-Masar Infrastructure &amp; ESG Advisory (Amman, JO)</t>
        </is>
      </c>
      <c r="B1" t="inlineStr" s="1">
        <is>
          <t>Pillar 3 — Donor-Funded NGO Implementing Partners, ESG &amp; Engineering Tender Consultancies</t>
        </is>
      </c>
    </row>
    <row r="2" ht="24" customHeight="1">
      <c r="A2" t="inlineStr" s="2">
        <is>
          <t>DEAD_SHEET_SWITCH (RadarAuton)</t>
        </is>
      </c>
      <c r="B2" t="inlineStr" s="2">
        <is>
          <t>OFF</t>
        </is>
      </c>
      <c r="C2" t="inlineStr" s="2">
        <is>
          <t>Flip to ON so Master OS Server streams Day 3+ intelligence.</t>
        </is>
      </c>
    </row>
    <row r="3">
    </row>
    <row r="4">
      <c r="A4" t="inlineStr" s="3">
        <is>
          <t>Signal ID</t>
        </is>
      </c>
      <c r="B4" t="inlineStr" s="3">
        <is>
          <t>Day Bucket</t>
        </is>
      </c>
      <c r="C4" t="inlineStr" s="3">
        <is>
          <t>Status</t>
        </is>
      </c>
      <c r="D4" t="inlineStr" s="3">
        <is>
          <t>Source Authority</t>
        </is>
      </c>
      <c r="E4" t="inlineStr" s="3">
        <is>
          <t>Headline</t>
        </is>
      </c>
      <c r="F4" t="inlineStr" s="3">
        <is>
          <t>Matched Firm Asset (wC04)</t>
        </is>
      </c>
      <c r="G4" t="inlineStr" s="3">
        <is>
          <t>Relevance Score</t>
        </is>
      </c>
      <c r="H4" t="inlineStr" s="3">
        <is>
          <t>Statutory Deadline</t>
        </is>
      </c>
      <c r="I4" t="inlineStr" s="3">
        <is>
          <t>Actionable Brief</t>
        </is>
      </c>
      <c r="J4" t="inlineStr" s="3">
        <is>
          <t>Pro Direct Contact (wC06)</t>
        </is>
      </c>
      <c r="K4" t="inlineStr" s="3">
        <is>
          <t>Pro Full Dossier (wC06)</t>
        </is>
      </c>
    </row>
    <row r="5">
      <c r="A5" t="inlineStr">
        <is>
          <t>SIG-DAY1-01</t>
        </is>
      </c>
      <c r="B5" t="inlineStr">
        <is>
          <t>DAY_1_PRELOADED</t>
        </is>
      </c>
      <c r="C5" t="inlineStr">
        <is>
          <t>PROCESSED_READY_IRL</t>
        </is>
      </c>
      <c r="D5" t="inlineStr">
        <is>
          <t>Etimad</t>
        </is>
      </c>
      <c r="E5" t="inlineStr">
        <is>
          <t>[Day 1 Live Match] Multilateral Donor (UNGM / World Bank / AfDB / ADB / EBRD) Procurement &amp; Grant Notice impacting UNDP / World Bank / EBRD Solar &amp; Water ESIA Practice</t>
        </is>
      </c>
      <c r="F5" t="inlineStr">
        <is>
          <t>UNDP / World Bank / EBRD Solar &amp; Water ESIA Practice</t>
        </is>
      </c>
      <c r="G5">
        <v>96</v>
      </c>
      <c r="H5" t="inlineStr">
        <is>
          <t>2026-11-18</t>
        </is>
      </c>
      <c r="I5" t="inlineStr">
        <is>
          <t>Immediate IRL action for Al-Masar Infrastructure &amp; ESG Advisory: file advisory / quote before statutory cutoff.</t>
        </is>
      </c>
      <c r="J5" t="inlineStr">
        <is>
          <t>🔒 LOCKED — Enter Whop License Key in wCell 06-B4</t>
        </is>
      </c>
      <c r="K5" t="inlineStr">
        <is>
          <t>🔒 LOCKED — Upgrade to Sovereign Pro in wCell 06</t>
        </is>
      </c>
    </row>
    <row r="6">
      <c r="A6" t="inlineStr">
        <is>
          <t>SIG-DAY2-01</t>
        </is>
      </c>
      <c r="B6" t="inlineStr">
        <is>
          <t>DAY_2_PRELOADED</t>
        </is>
      </c>
      <c r="C6" t="inlineStr">
        <is>
          <t>PROCESSED_READY_IRL</t>
        </is>
      </c>
      <c r="D6" t="inlineStr">
        <is>
          <t>IsDB / World Bank MENA</t>
        </is>
      </c>
      <c r="E6" t="inlineStr">
        <is>
          <t>[Day 2 Live Match] High-margin Tender &amp; ESG DeskOS opportunity matched to ISO 14001 &amp; Jordan Ministry of Environment Class-A License</t>
        </is>
      </c>
      <c r="F6" t="inlineStr">
        <is>
          <t>ISO 14001 &amp; Jordan Ministry of Environment Class-A License</t>
        </is>
      </c>
      <c r="G6">
        <v>94</v>
      </c>
      <c r="H6" t="inlineStr">
        <is>
          <t>2026-11-25</t>
        </is>
      </c>
      <c r="I6" t="inlineStr">
        <is>
          <t>Immediate IRL action for Al-Masar Infrastructure &amp; ESG Advisory: dispatch pre-drafted client alert in wCell 02.</t>
        </is>
      </c>
      <c r="J6" t="inlineStr">
        <is>
          <t>🔒 LOCKED — Enter Whop License Key in wCell 06-B4</t>
        </is>
      </c>
      <c r="K6" t="inlineStr">
        <is>
          <t>🔒 LOCKED — Upgrade to Sovereign Pro in wCell 06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02 (wC02) — 1-Click Client Alert &amp; Proposal Dispatch Queue (DispatchAuton)</t>
        </is>
      </c>
    </row>
    <row r="2" ht="24" customHeight="1">
      <c r="A2" t="inlineStr" s="2">
        <is>
          <t>Set Approval Status to APPROVED and run DispatchAuton to send from your own mailbox.</t>
        </is>
      </c>
    </row>
    <row r="3">
    </row>
    <row r="4">
      <c r="A4" t="inlineStr" s="3">
        <is>
          <t>Dispatch ID</t>
        </is>
      </c>
      <c r="B4" t="inlineStr" s="3">
        <is>
          <t>Signal ID</t>
        </is>
      </c>
      <c r="C4" t="inlineStr" s="3">
        <is>
          <t>Approval Status</t>
        </is>
      </c>
      <c r="D4" t="inlineStr" s="3">
        <is>
          <t>Recipient Role</t>
        </is>
      </c>
      <c r="E4" t="inlineStr" s="3">
        <is>
          <t>Draft Subject</t>
        </is>
      </c>
      <c r="F4" t="inlineStr" s="3">
        <is>
          <t>Draft Body Preview</t>
        </is>
      </c>
      <c r="G4" t="inlineStr" s="3">
        <is>
          <t>Quota Source</t>
        </is>
      </c>
    </row>
    <row r="5">
      <c r="A5" t="inlineStr">
        <is>
          <t>DSP-DAY1-01</t>
        </is>
      </c>
      <c r="B5" t="inlineStr">
        <is>
          <t>SIG-DAY1-01</t>
        </is>
      </c>
      <c r="C5" t="inlineStr">
        <is>
          <t>READY_FOR_HUMAN_APPROVAL</t>
        </is>
      </c>
      <c r="D5" t="inlineStr">
        <is>
          <t>Client / Counterparty Decision-Maker</t>
        </is>
      </c>
      <c r="E5" t="inlineStr">
        <is>
          <t>Urgent Amman Advisory: Etimad update on UNDP / World Bank / EBRD Solar &amp; Water ESIA Practice</t>
        </is>
      </c>
      <c r="F5" t="inlineStr">
        <is>
          <t>We detected a high-priority Multilateral Donor (UNGM / World Bank / AfDB / ADB / EBRD) Procurement &amp; Grant Notice affecting UNDP / World Bank / EBRD Solar &amp; Water ESIA Practice. Our desk has prepared the cost/margin calculation in wCell 03 and recommends action before 2026-11-18.</t>
        </is>
      </c>
      <c r="G5" t="inlineStr">
        <is>
          <t>MASTER_OS_PRESEED_2DAYS</t>
        </is>
      </c>
    </row>
    <row r="6">
      <c r="A6" t="inlineStr">
        <is>
          <t>DSP-DAY2-01</t>
        </is>
      </c>
      <c r="B6" t="inlineStr">
        <is>
          <t>SIG-DAY2-01</t>
        </is>
      </c>
      <c r="C6" t="inlineStr">
        <is>
          <t>READY_FOR_HUMAN_APPROVAL</t>
        </is>
      </c>
      <c r="D6" t="inlineStr">
        <is>
          <t>Client / Counterparty Decision-Maker</t>
        </is>
      </c>
      <c r="E6" t="inlineStr">
        <is>
          <t>Action Required: IsDB / World Bank MENA notice matched to ISO 14001 &amp; Jordan Ministry of Environment Class-A License</t>
        </is>
      </c>
      <c r="F6" t="inlineStr">
        <is>
          <t>Our DeskOS radar flagged a new Tender &amp; ESG DeskOS filing tied to ISO 14001 &amp; Jordan Ministry of Environment Class-A License. Reply 'PROCEED' and we will execute the filing/quote today.</t>
        </is>
      </c>
      <c r="G6" t="inlineStr">
        <is>
          <t>MASTER_OS_PRESEED_2DAYS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03 (wC03) — 10 Permanent Industry Instruments for Tender &amp; ESG DeskOS ('The Jewelry Jar' — InstrumentAuton)</t>
        </is>
      </c>
    </row>
    <row r="2" ht="24" customHeight="1">
      <c r="A2" t="inlineStr" s="2">
        <is>
          <t>All 10 calculators below remain 100% functional forever on zero external quota.</t>
        </is>
      </c>
    </row>
    <row r="3">
    </row>
    <row r="4">
      <c r="A4" t="inlineStr" s="3">
        <is>
          <t>Instrument ID</t>
        </is>
      </c>
      <c r="B4" t="inlineStr" s="3">
        <is>
          <t>Calculator Name</t>
        </is>
      </c>
      <c r="C4" t="inlineStr" s="3">
        <is>
          <t>Reference Formula</t>
        </is>
      </c>
      <c r="D4" t="inlineStr" s="3">
        <is>
          <t>Base Input A</t>
        </is>
      </c>
      <c r="E4" t="inlineStr" s="3">
        <is>
          <t>Rate / Factor B</t>
        </is>
      </c>
      <c r="F4" t="inlineStr" s="3">
        <is>
          <t>Live Calculated Output (Formula)</t>
        </is>
      </c>
    </row>
    <row r="5">
      <c r="A5" t="inlineStr">
        <is>
          <t>INST-01</t>
        </is>
      </c>
      <c r="B5" t="inlineStr">
        <is>
          <t>Bill of Quantities (BoQ) Escalation, FX &amp; Contingency Stress-Tester</t>
        </is>
      </c>
      <c r="C5">
        <f>ROUND(Base_BoQ*(1+Material_Escalation_Pct)*(1+FX_Risk_Pct)*(1+Contingency_Pct), 2)</f>
      </c>
      <c r="D5">
        <v>19500</v>
      </c>
      <c r="E5">
        <v>0.145</v>
      </c>
      <c r="F5">
        <f>ROUND(D5*(1+E5),2)</f>
      </c>
    </row>
    <row r="6">
      <c r="A6" t="inlineStr">
        <is>
          <t>INST-02</t>
        </is>
      </c>
      <c r="B6" t="inlineStr">
        <is>
          <t>JV Consortium Equity Split, Turnover Threshold &amp; Lead-Firm Qualifier</t>
        </is>
      </c>
      <c r="C6">
        <f>IF(AND(Combined_Turnover&gt;=Min_Turnover_Req, Lead_Partner_Share&gt;=0.4),"QUALIFIED_JV","SHORTFALL")</f>
      </c>
      <c r="D6">
        <v>24000</v>
      </c>
      <c r="E6">
        <v>0.17</v>
      </c>
      <c r="F6">
        <f>ROUND(D6*(1+E6),2)</f>
      </c>
    </row>
    <row r="7">
      <c r="A7" t="inlineStr">
        <is>
          <t>INST-03</t>
        </is>
      </c>
      <c r="B7" t="inlineStr">
        <is>
          <t>Donor Grant (UNDP / World Bank / AfDB / EBRD) Daily Rate &amp; Per-Diem Budgeter</t>
        </is>
      </c>
      <c r="C7">
        <f>ROUND(SUMPRODUCT(Expert_Days, Daily_Fee_Rates)+Total_Field_Days*UN_DSA_Per_Diem+Reimbursables, 2)</f>
      </c>
      <c r="D7">
        <v>28500</v>
      </c>
      <c r="E7">
        <v>0.195</v>
      </c>
      <c r="F7">
        <f>ROUND(D7*(1+E7),2)</f>
      </c>
    </row>
    <row r="8">
      <c r="A8" t="inlineStr">
        <is>
          <t>INST-04</t>
        </is>
      </c>
      <c r="B8" t="inlineStr">
        <is>
          <t>Combined Technical-Financial Weighted Score (QCBS 80/20 &amp; 70/30) Simulator</t>
        </is>
      </c>
      <c r="C8">
        <f>ROUND((Firm_Tech_Score*Tech_Weight)+((Lowest_Financial_Bid/Firm_Financial_Bid)*100*(1-Tech_Weight)), 2)</f>
      </c>
      <c r="D8">
        <v>33000</v>
      </c>
      <c r="E8">
        <v>0.22</v>
      </c>
      <c r="F8">
        <f>ROUND(D8*(1+E8),2)</f>
      </c>
    </row>
    <row r="9">
      <c r="A9" t="inlineStr">
        <is>
          <t>INST-05</t>
        </is>
      </c>
      <c r="B9" t="inlineStr">
        <is>
          <t>Bid Security Bond, Performance Guarantee &amp; Advance-Payment Bank-Charge Calculator</t>
        </is>
      </c>
      <c r="C9">
        <f>ROUND(Contract_Value*Guarantee_Pct*(Annual_Bank_Commission_Pct*(Bond_Validity_Days/365))+Swift_Issuance_Fee, 2)</f>
      </c>
      <c r="D9">
        <v>37500</v>
      </c>
      <c r="E9">
        <v>0.245</v>
      </c>
      <c r="F9">
        <f>ROUND(D9*(1+E9),2)</f>
      </c>
    </row>
    <row r="10">
      <c r="A10" t="inlineStr">
        <is>
          <t>INST-06</t>
        </is>
      </c>
      <c r="B10" t="inlineStr">
        <is>
          <t>FIDIC Interim Payment Certificate (IPC) Retention Money &amp; Defect-Liability Cashflow</t>
        </is>
      </c>
      <c r="C10">
        <f>ROUND(Gross_IPC_Valuation*(1-Retention_Pct)-Advance_Repayment_Deduction, 2)</f>
      </c>
      <c r="D10">
        <v>42000</v>
      </c>
      <c r="E10">
        <v>0.27</v>
      </c>
      <c r="F10">
        <f>ROUND(D10*(1+E10),2)</f>
      </c>
    </row>
    <row r="11">
      <c r="A11" t="inlineStr">
        <is>
          <t>INST-07</t>
        </is>
      </c>
      <c r="B11" t="inlineStr">
        <is>
          <t>ESIA / IFC Performance Standards Resettlement &amp; Biodiversity Offset Cost Estimator</t>
        </is>
      </c>
      <c r="C11">
        <f>ROUND((Affected_Households*RAP_Compensation_Unit)+(Disturbed_Hectares*Rehab_Cost_Per_Ha)*(1+Monitoring_Pct), 2)</f>
      </c>
      <c r="D11">
        <v>46500</v>
      </c>
      <c r="E11">
        <v>0.295</v>
      </c>
      <c r="F11">
        <f>ROUND(D11*(1+E11),2)</f>
      </c>
    </row>
    <row r="12">
      <c r="A12" t="inlineStr">
        <is>
          <t>INST-08</t>
        </is>
      </c>
      <c r="B12" t="inlineStr">
        <is>
          <t>Local-Content &amp; Indigenous Subcontracting Statutory Threshold Compliance Tracker</t>
        </is>
      </c>
      <c r="C12">
        <f>IF((Local_Subcontract_Spend+Local_Labor_Spend)/Total_Bid_Price&gt;=Statutory_Local_Pct,"COMPLIANT_BONUS_ELIGIBLE","LOCAL_CONTENT_DEFICIT")</f>
      </c>
      <c r="D12">
        <v>51000</v>
      </c>
      <c r="E12">
        <v>0.32</v>
      </c>
      <c r="F12">
        <f>ROUND(D12*(1+E12),2)</f>
      </c>
    </row>
    <row r="13">
      <c r="A13" t="inlineStr">
        <is>
          <t>INST-09</t>
        </is>
      </c>
      <c r="B13" t="inlineStr">
        <is>
          <t>Key-Personnel Man-Month Utilization, Mobilization &amp; Replacement Penalty Calculator</t>
        </is>
      </c>
      <c r="C13">
        <f>ROUND((Billable_Man_Months*Monthly_Billing_Rate)-(Mobilization_Flights+Visa_Work_Permits+Key_Staff_Turnover_Risk), 2)</f>
      </c>
      <c r="D13">
        <v>55500</v>
      </c>
      <c r="E13">
        <v>0.345</v>
      </c>
      <c r="F13">
        <f>ROUND(D13*(1+E13),2)</f>
      </c>
    </row>
    <row r="14">
      <c r="A14" t="inlineStr">
        <is>
          <t>INST-10</t>
        </is>
      </c>
      <c r="B14" t="inlineStr">
        <is>
          <t>Liquidated Damages (LD) Delay-Day Cap &amp; Critical-Path Float Exposure Calculator</t>
        </is>
      </c>
      <c r="C14">
        <f>MIN(Contract_Value*Max_LD_Cap_Pct, MAX(0, Projected_Delay_Days-Approved_EoT_Days)*(Contract_Value*Daily_LD_Pct))</f>
      </c>
      <c r="D14">
        <v>60000</v>
      </c>
      <c r="E14">
        <v>0.37</v>
      </c>
      <c r="F14">
        <f>ROUND(D14*(1+E14),2)</f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04 (wC04) — Pre-Loaded Firm Truth Vault for Al-Masar Infrastructure &amp; ESG Advisory (VaultAuton)</t>
        </is>
      </c>
    </row>
    <row r="2" ht="24" customHeight="1">
      <c r="A2" t="inlineStr" s="2">
        <is>
          <t>Pre-populated with your firm's own practice lanes, registered marks, and corridors.</t>
        </is>
      </c>
    </row>
    <row r="3">
    </row>
    <row r="4">
      <c r="A4" t="inlineStr" s="3">
        <is>
          <t>Vault ID</t>
        </is>
      </c>
      <c r="B4" t="inlineStr" s="3">
        <is>
          <t>Firm Asset / Corridor / Practice Line</t>
        </is>
      </c>
      <c r="C4" t="inlineStr" s="3">
        <is>
          <t>Jurisdiction</t>
        </is>
      </c>
      <c r="D4" t="inlineStr" s="3">
        <is>
          <t>Pillar</t>
        </is>
      </c>
      <c r="E4" t="inlineStr" s="3">
        <is>
          <t>Monitoring State</t>
        </is>
      </c>
    </row>
    <row r="5">
      <c r="A5" t="inlineStr">
        <is>
          <t>VLT-01</t>
        </is>
      </c>
      <c r="B5" t="inlineStr">
        <is>
          <t>UNDP / World Bank / EBRD Solar &amp; Water ESIA Practice</t>
        </is>
      </c>
      <c r="C5" t="inlineStr">
        <is>
          <t>Amman, JO (MENA)</t>
        </is>
      </c>
      <c r="D5" t="inlineStr">
        <is>
          <t>Tender &amp; ESG DeskOS</t>
        </is>
      </c>
      <c r="E5" t="inlineStr">
        <is>
          <t>ACTIVE_PRELOADED</t>
        </is>
      </c>
    </row>
    <row r="6">
      <c r="A6" t="inlineStr">
        <is>
          <t>VLT-02</t>
        </is>
      </c>
      <c r="B6" t="inlineStr">
        <is>
          <t>ISO 14001 &amp; Jordan Ministry of Environment Class-A License</t>
        </is>
      </c>
      <c r="C6" t="inlineStr">
        <is>
          <t>Amman, JO (MENA)</t>
        </is>
      </c>
      <c r="D6" t="inlineStr">
        <is>
          <t>Tender &amp; ESG DeskOS</t>
        </is>
      </c>
      <c r="E6" t="inlineStr">
        <is>
          <t>ACTIVE_PRELOADED</t>
        </is>
      </c>
    </row>
    <row r="7">
      <c r="A7" t="inlineStr">
        <is>
          <t>VLT-03</t>
        </is>
      </c>
      <c r="B7" t="inlineStr">
        <is>
          <t>Aqaba Green Hydrogen &amp; Desalination Monitoring Consortium</t>
        </is>
      </c>
      <c r="C7" t="inlineStr">
        <is>
          <t>Amman, JO (MENA)</t>
        </is>
      </c>
      <c r="D7" t="inlineStr">
        <is>
          <t>Tender &amp; ESG DeskOS</t>
        </is>
      </c>
      <c r="E7" t="inlineStr">
        <is>
          <t>ACTIVE_PRELOADED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05 (wC05) — Sovereign BYOK Key &amp; Quota Bay (KeyGateAuton)</t>
        </is>
      </c>
    </row>
    <row r="2" ht="24" customHeight="1">
      <c r="A2" t="inlineStr" s="2">
        <is>
          <t>DEFAULT = BYOK: Day 3+ raw intelligence lands in wC01 when switch is ON, but is only processed once your free key is entered below.</t>
        </is>
      </c>
    </row>
    <row r="3">
    </row>
    <row r="4">
      <c r="A4" t="inlineStr" s="3">
        <is>
          <t>LLM Provider (gemini / groq / deepseek)</t>
        </is>
      </c>
      <c r="B4" t="inlineStr" s="3">
        <is>
          <t>gemini</t>
        </is>
      </c>
    </row>
    <row r="5">
      <c r="A5" t="inlineStr">
        <is>
          <t>User Free LLM API Key</t>
        </is>
      </c>
    </row>
    <row r="6">
      <c r="A6" t="inlineStr">
        <is>
          <t>User Outbound Mailbox Email</t>
        </is>
      </c>
      <c r="B6" t="inlineStr">
        <is>
          <t>tenders@almasar-esg.jo</t>
        </is>
      </c>
    </row>
    <row r="7">
      <c r="A7" t="inlineStr">
        <is>
          <t>User Mailbox App Password (16-char)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06 (wC06) — Sovereign Command &amp; Pro Upgrade Gate (UpgradeAuton)</t>
        </is>
      </c>
    </row>
    <row r="2" ht="24" customHeight="1">
      <c r="A2" t="inlineStr" s="2">
        <is>
          <t>Doctrine</t>
        </is>
      </c>
      <c r="B2" t="inlineStr" s="2">
        <is>
          <t>USA and mainstream software providers don't like to work with firms in Amman (JO). DeskOS is your sovereign, permanent operational advantage.</t>
        </is>
      </c>
    </row>
    <row r="3">
      <c r="A3" t="inlineStr">
        <is>
          <t>Current Plan Tier</t>
        </is>
      </c>
      <c r="B3" t="inlineStr">
        <is>
          <t>FREE</t>
        </is>
      </c>
    </row>
    <row r="4">
      <c r="A4" t="inlineStr" s="3">
        <is>
          <t>Whop License Key (Paste STP1.* key here)</t>
        </is>
      </c>
    </row>
    <row r="5">
      <c r="A5" t="inlineStr">
        <is>
          <t>Pro Columns Status</t>
        </is>
      </c>
      <c r="B5" t="inlineStr">
        <is>
          <t>LOCKED_FREE_BYOK_MODE</t>
        </is>
      </c>
    </row>
    <row r="6">
      <c r="A6" t="inlineStr">
        <is>
          <t>Master OS Tokens Used (Day 1-2 Pre-Seed)</t>
        </is>
      </c>
      <c r="B6">
        <v>420</v>
      </c>
    </row>
    <row r="7">
      <c r="A7" t="inlineStr">
        <is>
          <t>Master OS Tokens Used (Day 3+ Stream)</t>
        </is>
      </c>
      <c r="B7">
        <v>0</v>
      </c>
    </row>
    <row r="8">
      <c r="A8" t="inlineStr">
        <is>
          <t>Client BYOK Tokens Used (Day 3+)</t>
        </is>
      </c>
      <c r="B8">
        <v>0</v>
      </c>
    </row>
    <row r="9">
      <c r="A9" t="inlineStr">
        <is>
          <t>Whop Pro Upgrade Link ($49/mo | R850/mo)</t>
        </is>
      </c>
      <c r="B9" t="inlineStr">
        <is>
          <t>https://whop.com/checkout/ch_Si8xefqAIZZzm3R?a=stpi</t>
        </is>
      </c>
    </row>
    <row r="10">
      <c r="A10" t="inlineStr">
        <is>
          <t>Support &amp; Concierge</t>
        </is>
      </c>
      <c r="B10" t="inlineStr">
        <is>
          <t>concierge@getstpi.com</t>
        </is>
      </c>
    </row>
  </sheetData>
</worksheet>
</file>